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7bd44337e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スト仕様" sheetId="1" r:id="R3bad3f8d6c1f4115"/>
    <x:sheet xmlns:r="http://schemas.openxmlformats.org/officeDocument/2006/relationships" name="01_顧客マスタ" sheetId="2" r:id="Rf38a45557278434c"/>
    <x:sheet xmlns:r="http://schemas.openxmlformats.org/officeDocument/2006/relationships" name="02_自由記述" sheetId="3" r:id="Ra35bf254d4684ca1"/>
    <x:sheet xmlns:r="http://schemas.openxmlformats.org/officeDocument/2006/relationships" name="03_人事情報" sheetId="4" r:id="R0fc2697f228a4df7"/>
    <x:sheet xmlns:r="http://schemas.openxmlformats.org/officeDocument/2006/relationships" name="04_取引機密" sheetId="5" r:id="R37ca11570d264c43"/>
    <x:sheet xmlns:r="http://schemas.openxmlformats.org/officeDocument/2006/relationships" name="05_表記ゆれ" sheetId="6" r:id="Rbeeddcff800f42b0"/>
    <x:sheet xmlns:r="http://schemas.openxmlformats.org/officeDocument/2006/relationships" name="期待処理ルール" sheetId="7" r:id="R92721b66aa3b49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#,##0&quot;円&quot;"/>
    <x:numFmt numFmtId="203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C00000"/>
      <x:name val="Carlito"/>
    </x:font>
    <x:font>
      <x:sz val="10"/>
      <x:color rgb="FF7F6000"/>
      <x:name val="Carlito"/>
    </x:font>
    <x:font>
      <x:b/>
      <x:sz val="10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</x:fills>
  <x:borders count="18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1" xfId="0" applyNumberFormat="1" applyFont="1" applyFill="1" applyBorder="1"/>
    <x:xf numFmtId="203" fontId="0" fillId="0" borderId="16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5" fillId="4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/>
    </x:xf>
    <x:xf numFmtId="0" fontId="6" fillId="0" borderId="15" xfId="0" applyNumberFormat="1" applyFont="1" applyFill="1" applyBorder="1" applyAlignment="1">
      <x:alignment vertical="center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/>
    </x:xf>
    <x:xf numFmtId="0" fontId="6" fillId="0" borderId="17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0" fontId="6" fillId="0" borderId="8" xfId="0" applyNumberFormat="1" applyFont="1" applyFill="1" applyBorder="1"/>
    <x:xf numFmtId="200" fontId="6" fillId="0" borderId="1" xfId="0" applyNumberFormat="1" applyFont="1" applyFill="1" applyBorder="1"/>
    <x:xf numFmtId="200" fontId="6" fillId="0" borderId="16" xfId="0" applyNumberFormat="1" applyFont="1" applyFill="1" applyBorder="1"/>
    <x:xf numFmtId="200" fontId="6" fillId="0" borderId="0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6" fillId="0" borderId="16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/>
    <x:xf numFmtId="201" fontId="6" fillId="0" borderId="8" xfId="0" applyNumberFormat="1" applyFont="1" applyFill="1" applyBorder="1"/>
    <x:xf numFmtId="201" fontId="6" fillId="0" borderId="1" xfId="0" applyNumberFormat="1" applyFont="1" applyFill="1" applyBorder="1"/>
    <x:xf numFmtId="201" fontId="6" fillId="0" borderId="16" xfId="0" applyNumberFormat="1" applyFont="1" applyFill="1" applyBorder="1"/>
    <x:xf numFmtId="201" fontId="6" fillId="0" borderId="0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6" fillId="0" borderId="16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/>
    <x:xf numFmtId="202" fontId="6" fillId="0" borderId="8" xfId="0" applyNumberFormat="1" applyFont="1" applyFill="1" applyBorder="1"/>
    <x:xf numFmtId="202" fontId="6" fillId="0" borderId="1" xfId="0" applyNumberFormat="1" applyFont="1" applyFill="1" applyBorder="1"/>
    <x:xf numFmtId="202" fontId="6" fillId="0" borderId="16" xfId="0" applyNumberFormat="1" applyFont="1" applyFill="1" applyBorder="1"/>
    <x:xf numFmtId="202" fontId="6" fillId="0" borderId="0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6" fillId="0" borderId="16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/>
    <x:xf numFmtId="203" fontId="6" fillId="0" borderId="8" xfId="0" applyNumberFormat="1" applyFont="1" applyFill="1" applyBorder="1"/>
    <x:xf numFmtId="203" fontId="6" fillId="0" borderId="1" xfId="0" applyNumberFormat="1" applyFont="1" applyFill="1" applyBorder="1"/>
    <x:xf numFmtId="203" fontId="6" fillId="0" borderId="16" xfId="0" applyNumberFormat="1" applyFont="1" applyFill="1" applyBorder="1"/>
    <x:xf numFmtId="203" fontId="6" fillId="0" borderId="0" xfId="0" applyNumberFormat="1" applyFont="1" applyFill="1" applyBorder="1" applyAlignment="1">
      <x:alignment vertical="center"/>
    </x:xf>
    <x:xf numFmtId="203" fontId="6" fillId="0" borderId="8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3" fontId="6" fillId="0" borderId="16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83f05a61f4d9d" /><Relationship Type="http://schemas.openxmlformats.org/officeDocument/2006/relationships/theme" Target="/xl/theme/theme1.xml" Id="Rac95a6790f8e4420" /><Relationship Type="http://schemas.openxmlformats.org/officeDocument/2006/relationships/sharedStrings" Target="/xl/sharedStrings.xml" Id="Rc83f39906c3648cd" /><Relationship Type="http://schemas.openxmlformats.org/officeDocument/2006/relationships/worksheet" Target="/xl/worksheets/sheet1.xml" Id="R3bad3f8d6c1f4115" /><Relationship Type="http://schemas.openxmlformats.org/officeDocument/2006/relationships/worksheet" Target="/xl/worksheets/sheet2.xml" Id="Rf38a45557278434c" /><Relationship Type="http://schemas.openxmlformats.org/officeDocument/2006/relationships/worksheet" Target="/xl/worksheets/sheet3.xml" Id="Ra35bf254d4684ca1" /><Relationship Type="http://schemas.openxmlformats.org/officeDocument/2006/relationships/worksheet" Target="/xl/worksheets/sheet4.xml" Id="R0fc2697f228a4df7" /><Relationship Type="http://schemas.openxmlformats.org/officeDocument/2006/relationships/worksheet" Target="/xl/worksheets/sheet5.xml" Id="R37ca11570d264c43" /><Relationship Type="http://schemas.openxmlformats.org/officeDocument/2006/relationships/worksheet" Target="/xl/worksheets/sheet6.xml" Id="Rbeeddcff800f42b0" /><Relationship Type="http://schemas.openxmlformats.org/officeDocument/2006/relationships/worksheet" Target="/xl/worksheets/sheet7.xml" Id="R92721b66aa3b49f2" /></Relationships>
</file>

<file path=xl/tables/table1.xml><?xml version="1.0" encoding="utf-8"?>
<x:table xmlns:x="http://schemas.openxmlformats.org/spreadsheetml/2006/main" id="1" name="TestSpecTable" displayName="TestSpecTable" ref="A5:F11" headerRowCount="1">
  <x:tableColumns count="6">
    <x:tableColumn id="1" name="区分"/>
    <x:tableColumn id="2" name="確認目的"/>
    <x:tableColumn id="3" name="主な検出対象"/>
    <x:tableColumn id="4" name="期待する処理"/>
    <x:tableColumn id="5" name="難易度"/>
    <x:tableColumn id="6" name="対象シート"/>
  </x:tableColumns>
  <x:tableStyleInfo name="TableStyleMedium2" showRowStripes="1"/>
</x:table>
</file>

<file path=xl/tables/table2.xml><?xml version="1.0" encoding="utf-8"?>
<x:table xmlns:x="http://schemas.openxmlformats.org/spreadsheetml/2006/main" id="2" name="CheckPointsTable" displayName="CheckPointsTable" ref="A14:D19" headerRowCount="1">
  <x:tableColumns count="4">
    <x:tableColumn id="1" name="推奨する確認項目"/>
    <x:tableColumn id="2" name="判定基準"/>
    <x:tableColumn id="3" name="合格例"/>
    <x:tableColumn id="4" name="不合格例"/>
  </x:tableColumns>
  <x:tableStyleInfo name="TableStyleMedium2" showRowStripes="1"/>
</x:table>
</file>

<file path=xl/tables/table3.xml><?xml version="1.0" encoding="utf-8"?>
<x:table xmlns:x="http://schemas.openxmlformats.org/spreadsheetml/2006/main" id="3" name="CustomerMasterTable" displayName="CustomerMasterTable" ref="A1:O11" headerRowCount="1">
  <x:tableColumns count="15">
    <x:tableColumn id="1" name="顧客ID"/>
    <x:tableColumn id="2" name="氏名"/>
    <x:tableColumn id="3" name="氏名カナ"/>
    <x:tableColumn id="4" name="会社名"/>
    <x:tableColumn id="5" name="部署"/>
    <x:tableColumn id="6" name="役職"/>
    <x:tableColumn id="7" name="郵便番号"/>
    <x:tableColumn id="8" name="住所"/>
    <x:tableColumn id="9" name="固定電話"/>
    <x:tableColumn id="10" name="携帯電話"/>
    <x:tableColumn id="11" name="メールアドレス"/>
    <x:tableColumn id="12" name="生年月日"/>
    <x:tableColumn id="13" name="会員番号"/>
    <x:tableColumn id="14" name="個人番号_テスト用"/>
    <x:tableColumn id="15" name="備考"/>
  </x:tableColumns>
  <x:tableStyleInfo name="TableStyleMedium2" showRowStripes="1"/>
</x:table>
</file>

<file path=xl/tables/table4.xml><?xml version="1.0" encoding="utf-8"?>
<x:table xmlns:x="http://schemas.openxmlformats.org/spreadsheetml/2006/main" id="4" name="FreeTextTable" displayName="FreeTextTable" ref="A1:F13" headerRowCount="1">
  <x:tableColumns count="6">
    <x:tableColumn id="1" name="受付番号"/>
    <x:tableColumn id="2" name="受付日時"/>
    <x:tableColumn id="3" name="チャネル"/>
    <x:tableColumn id="4" name="問い合わせ本文"/>
    <x:tableColumn id="5" name="担当者メモ"/>
    <x:tableColumn id="6" name="検出難易度"/>
  </x:tableColumns>
  <x:tableStyleInfo name="TableStyleMedium2" showRowStripes="1"/>
</x:table>
</file>

<file path=xl/tables/table5.xml><?xml version="1.0" encoding="utf-8"?>
<x:table xmlns:x="http://schemas.openxmlformats.org/spreadsheetml/2006/main" id="5" name="HRTable" displayName="HRTable" ref="A1:M7" headerRowCount="1">
  <x:tableColumns count="13">
    <x:tableColumn id="1" name="社員番号"/>
    <x:tableColumn id="2" name="氏名"/>
    <x:tableColumn id="3" name="所属"/>
    <x:tableColumn id="4" name="役職"/>
    <x:tableColumn id="5" name="入社日"/>
    <x:tableColumn id="6" name="基本給"/>
    <x:tableColumn id="7" name="賞与見込"/>
    <x:tableColumn id="8" name="評価ランク"/>
    <x:tableColumn id="9" name="扶養家族数"/>
    <x:tableColumn id="10" name="緊急連絡先氏名"/>
    <x:tableColumn id="11" name="緊急連絡先電話"/>
    <x:tableColumn id="12" name="健康・配慮情報"/>
    <x:tableColumn id="13" name="上司メモ"/>
  </x:tableColumns>
  <x:tableStyleInfo name="TableStyleMedium2" showRowStripes="1"/>
</x:table>
</file>

<file path=xl/tables/table6.xml><?xml version="1.0" encoding="utf-8"?>
<x:table xmlns:x="http://schemas.openxmlformats.org/spreadsheetml/2006/main" id="6" name="ConfidentialDealsTable" displayName="ConfidentialDealsTable" ref="A1:L6" headerRowCount="1">
  <x:tableColumns count="12">
    <x:tableColumn id="1" name="案件ID"/>
    <x:tableColumn id="2" name="顧客企業"/>
    <x:tableColumn id="3" name="案件名"/>
    <x:tableColumn id="4" name="担当者"/>
    <x:tableColumn id="5" name="見積金額"/>
    <x:tableColumn id="6" name="原価見込"/>
    <x:tableColumn id="7" name="粗利率"/>
    <x:tableColumn id="8" name="仕入先"/>
    <x:tableColumn id="9" name="銀行口座"/>
    <x:tableColumn id="10" name="サーバーIP"/>
    <x:tableColumn id="11" name="APIキー_テスト用"/>
    <x:tableColumn id="12" name="社外秘メモ"/>
  </x:tableColumns>
  <x:tableStyleInfo name="TableStyleMedium2" showRowStripes="1"/>
</x:table>
</file>

<file path=xl/tables/table7.xml><?xml version="1.0" encoding="utf-8"?>
<x:table xmlns:x="http://schemas.openxmlformats.org/spreadsheetml/2006/main" id="7" name="VariationCasesTable" displayName="VariationCasesTable" ref="A1:E23" headerRowCount="1">
  <x:tableColumns count="5">
    <x:tableColumn id="1" name="ケースID"/>
    <x:tableColumn id="2" name="分類"/>
    <x:tableColumn id="3" name="入力値"/>
    <x:tableColumn id="4" name="想定する正規化・判定"/>
    <x:tableColumn id="5" name="注意点"/>
  </x:tableColumns>
  <x:tableStyleInfo name="TableStyleMedium2" showRowStripes="1"/>
</x:table>
</file>

<file path=xl/tables/table8.xml><?xml version="1.0" encoding="utf-8"?>
<x:table xmlns:x="http://schemas.openxmlformats.org/spreadsheetml/2006/main" id="8" name="ExpectedRulesTable" displayName="ExpectedRulesTable" ref="A1:F13" headerRowCount="1">
  <x:tableColumns count="6">
    <x:tableColumn id="1" name="対象カテゴリ"/>
    <x:tableColumn id="2" name="例"/>
    <x:tableColumn id="3" name="推奨処理"/>
    <x:tableColumn id="4" name="出力例"/>
    <x:tableColumn id="5" name="優先度"/>
    <x:tableColumn id="6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322ab21d9f4bd5" /><Relationship Type="http://schemas.openxmlformats.org/officeDocument/2006/relationships/table" Target="/xl/tables/table2.xml" Id="R5e9ac6552c4747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e31641a276f4b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8935ca1677b48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dc0e8f2ed434d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208e5723a6d4e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b430c82580a340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55f13d32310c46b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1" hidden="0" customWidth="1"/>
    <x:col min="4" max="4" width="31" hidden="0" customWidth="1"/>
    <x:col min="5" max="5" width="11" hidden="0" customWidth="1"/>
    <x:col min="6" max="6" width="18" hidden="0" customWidth="1"/>
  </x:cols>
  <x:sheetData>
    <x:row r="1" ht="30" customHeight="1">
      <x:c r="A1" s="5" t="str">
        <x:v>Excel匿名化アプリ テストデータ</x:v>
      </x:c>
      <x:c r="B1" s="5"/>
      <x:c r="C1" s="5"/>
      <x:c r="D1" s="5"/>
      <x:c r="E1" s="5"/>
      <x:c r="F1" s="5"/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3"/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 ht="38" customHeight="1">
      <x:c r="A3" s="89" t="str">
        <x:v>重要</x:v>
      </x:c>
      <x:c r="B3" s="90" t="str">
        <x:v>このブック内の氏名・会社名・住所・電話番号・メールアドレス・口座情報などは、すべて架空のテストデータです。</x:v>
      </x:c>
      <x:c r="C3" s="90"/>
      <x:c r="D3" s="90"/>
      <x:c r="E3" s="90"/>
      <x:c r="F3" s="90"/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91" t="str">
        <x:v>区分</x:v>
      </x:c>
      <x:c r="B5" s="92" t="str">
        <x:v>確認目的</x:v>
      </x:c>
      <x:c r="C5" s="92" t="str">
        <x:v>主な検出対象</x:v>
      </x:c>
      <x:c r="D5" s="92" t="str">
        <x:v>期待する処理</x:v>
      </x:c>
      <x:c r="E5" s="92" t="str">
        <x:v>難易度</x:v>
      </x:c>
      <x:c r="F5" s="93" t="str">
        <x:v>対象シート</x:v>
      </x:c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構造化データ</x:v>
      </x:c>
      <x:c r="B6" s="127" t="str">
        <x:v>列単位の匿名化</x:v>
      </x:c>
      <x:c r="C6" s="127" t="str">
        <x:v>氏名、住所、電話、メール、生年月日、識別番号</x:v>
      </x:c>
      <x:c r="D6" s="127" t="str">
        <x:v>削除、マスキング、仮名化</x:v>
      </x:c>
      <x:c r="E6" s="123" t="str">
        <x:v>基本</x:v>
      </x:c>
      <x:c r="F6" s="128" t="str">
        <x:v>01_顧客マスタ</x:v>
      </x:c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自由記述</x:v>
      </x:c>
      <x:c r="B7" s="127" t="str">
        <x:v>文章内に埋め込まれた情報の検出</x:v>
      </x:c>
      <x:c r="C7" s="127" t="str">
        <x:v>氏名、住所、電話、メール、日時、会社名</x:v>
      </x:c>
      <x:c r="D7" s="127" t="str">
        <x:v>文章構造を保ちながら置換</x:v>
      </x:c>
      <x:c r="E7" s="123" t="str">
        <x:v>高</x:v>
      </x:c>
      <x:c r="F7" s="128" t="str">
        <x:v>02_自由記述</x:v>
      </x:c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人事情報</x:v>
      </x:c>
      <x:c r="B8" s="127" t="str">
        <x:v>センシティブ情報と社内機密の分離</x:v>
      </x:c>
      <x:c r="C8" s="127" t="str">
        <x:v>給与、評価、休職、家族情報、上司メモ</x:v>
      </x:c>
      <x:c r="D8" s="127" t="str">
        <x:v>個人情報と機密情報を別ルールで処理</x:v>
      </x:c>
      <x:c r="E8" s="123" t="str">
        <x:v>高</x:v>
      </x:c>
      <x:c r="F8" s="128" t="str">
        <x:v>03_人事情報</x:v>
      </x:c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企業機密</x:v>
      </x:c>
      <x:c r="B9" s="127" t="str">
        <x:v>個人情報以外の秘密情報の検出</x:v>
      </x:c>
      <x:c r="C9" s="127" t="str">
        <x:v>顧客名、案件名、見積、粗利、口座、APIキー、サーバー情報</x:v>
      </x:c>
      <x:c r="D9" s="127" t="str">
        <x:v>列指定、辞書、正規表現で処理</x:v>
      </x:c>
      <x:c r="E9" s="123" t="str">
        <x:v>高</x:v>
      </x:c>
      <x:c r="F9" s="128" t="str">
        <x:v>04_取引機密</x:v>
      </x:c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表記ゆれ</x:v>
      </x:c>
      <x:c r="B10" s="127" t="str">
        <x:v>正規化と同一人物判定</x:v>
      </x:c>
      <x:c r="C10" s="127" t="str">
        <x:v>全角半角、空白、旧字体、英語表記、略称</x:v>
      </x:c>
      <x:c r="D10" s="127" t="str">
        <x:v>同一人物を同じ仮名に統一</x:v>
      </x:c>
      <x:c r="E10" s="123" t="str">
        <x:v>最高</x:v>
      </x:c>
      <x:c r="F10" s="128" t="str">
        <x:v>05_表記ゆれ</x:v>
      </x:c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9" t="str">
        <x:v>境界値</x:v>
      </x:c>
      <x:c r="B11" s="130" t="str">
        <x:v>誤検出と見逃しの確認</x:v>
      </x:c>
      <x:c r="C11" s="130" t="str">
        <x:v>人名にも一般語にもなる語、不完全な形式</x:v>
      </x:c>
      <x:c r="D11" s="130" t="str">
        <x:v>誤検出を抑え、要確認として表示</x:v>
      </x:c>
      <x:c r="E11" s="131" t="str">
        <x:v>最高</x:v>
      </x:c>
      <x:c r="F11" s="132" t="str">
        <x:v>05_表記ゆれ</x:v>
      </x:c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91" t="str">
        <x:v>推奨する確認項目</x:v>
      </x:c>
      <x:c r="B14" s="92" t="str">
        <x:v>判定基準</x:v>
      </x:c>
      <x:c r="C14" s="92" t="str">
        <x:v>合格例</x:v>
      </x:c>
      <x:c r="D14" s="93" t="str">
        <x:v>不合格例</x:v>
      </x:c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33" t="str">
        <x:v>同一人物の一貫性</x:v>
      </x:c>
      <x:c r="B15" s="127" t="str">
        <x:v>同じ人物はシートをまたいでも同じ仮名になる</x:v>
      </x:c>
      <x:c r="C15" s="127" t="str">
        <x:v>細谷花子 → 個人001で統一</x:v>
      </x:c>
      <x:c r="D15" s="134" t="str">
        <x:v>行ごとに個人001、個人008と変わる</x:v>
      </x:c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33" t="str">
        <x:v>レイアウト維持</x:v>
      </x:c>
      <x:c r="B16" s="127" t="str">
        <x:v>列順、シート名、日付型、数値型を可能な限り保つ</x:v>
      </x:c>
      <x:c r="C16" s="127" t="str">
        <x:v>金額が数値のまま残る</x:v>
      </x:c>
      <x:c r="D16" s="134" t="str">
        <x:v>すべて文字列になる</x:v>
      </x:c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33" t="str">
        <x:v>原本保護</x:v>
      </x:c>
      <x:c r="B17" s="127" t="str">
        <x:v>原本を上書きしない</x:v>
      </x:c>
      <x:c r="C17" s="127" t="str">
        <x:v>別名で匿名化済みファイルを出力</x:v>
      </x:c>
      <x:c r="D17" s="134" t="str">
        <x:v>入力ファイルを直接更新</x:v>
      </x:c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33" t="str">
        <x:v>誤検出確認</x:v>
      </x:c>
      <x:c r="B18" s="127" t="str">
        <x:v>一般語を自動置換せず、確認対象にできる</x:v>
      </x:c>
      <x:c r="C18" s="127" t="str">
        <x:v>南工場の「南」を要確認</x:v>
      </x:c>
      <x:c r="D18" s="134" t="str">
        <x:v>すべて人名として置換</x:v>
      </x:c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35" t="str">
        <x:v>機密情報対応</x:v>
      </x:c>
      <x:c r="B19" s="130" t="str">
        <x:v>個人情報以外もルール指定で処理できる</x:v>
      </x:c>
      <x:c r="C19" s="130" t="str">
        <x:v>粗利率、APIキーをマスキング</x:v>
      </x:c>
      <x:c r="D19" s="136" t="str">
        <x:v>氏名だけ処理して終了</x:v>
      </x:c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mergeCells>
    <x:mergeCell ref="A1:F1"/>
    <x:mergeCell ref="B3:F3"/>
  </x:mergeCells>
  <x:pageMargins left="0.7" right="0.7" top="0.75" bottom="0.75" header="0.3" footer="0.3"/>
  <x:tableParts count="2">
    <x:tablePart xmlns:r="http://schemas.openxmlformats.org/officeDocument/2006/relationships" r:id="R53322ab21d9f4bd5"/>
    <x:tablePart xmlns:r="http://schemas.openxmlformats.org/officeDocument/2006/relationships" r:id="R5e9ac6552c4747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8" hidden="0" customWidth="1"/>
    <x:col min="4" max="4" width="24" hidden="0" customWidth="1"/>
    <x:col min="5" max="5" width="15" hidden="0" customWidth="1"/>
    <x:col min="6" max="6" width="14" hidden="0" customWidth="1"/>
    <x:col min="7" max="7" width="12" hidden="0" customWidth="1"/>
    <x:col min="8" max="8" width="36" hidden="0" customWidth="1"/>
    <x:col min="9" max="9" width="18" hidden="0" customWidth="1"/>
    <x:col min="10" max="10" width="18" hidden="0" customWidth="1"/>
    <x:col min="11" max="11" width="31" hidden="0" customWidth="1"/>
    <x:col min="12" max="12" width="13" hidden="0" customWidth="1"/>
    <x:col min="13" max="13" width="18" hidden="0" customWidth="1"/>
    <x:col min="14" max="14" width="18" hidden="0" customWidth="1"/>
    <x:col min="15" max="15" width="34" hidden="0" customWidth="1"/>
  </x:cols>
  <x:sheetData>
    <x:row r="1">
      <x:c r="A1" s="91" t="str">
        <x:v>顧客ID</x:v>
      </x:c>
      <x:c r="B1" s="92" t="str">
        <x:v>氏名</x:v>
      </x:c>
      <x:c r="C1" s="92" t="str">
        <x:v>氏名カナ</x:v>
      </x:c>
      <x:c r="D1" s="92" t="str">
        <x:v>会社名</x:v>
      </x:c>
      <x:c r="E1" s="92" t="str">
        <x:v>部署</x:v>
      </x:c>
      <x:c r="F1" s="92" t="str">
        <x:v>役職</x:v>
      </x:c>
      <x:c r="G1" s="92" t="str">
        <x:v>郵便番号</x:v>
      </x:c>
      <x:c r="H1" s="92" t="str">
        <x:v>住所</x:v>
      </x:c>
      <x:c r="I1" s="92" t="str">
        <x:v>固定電話</x:v>
      </x:c>
      <x:c r="J1" s="92" t="str">
        <x:v>携帯電話</x:v>
      </x:c>
      <x:c r="K1" s="92" t="str">
        <x:v>メールアドレス</x:v>
      </x:c>
      <x:c r="L1" s="92" t="str">
        <x:v>生年月日</x:v>
      </x:c>
      <x:c r="M1" s="92" t="str">
        <x:v>会員番号</x:v>
      </x:c>
      <x:c r="N1" s="92" t="str">
        <x:v>個人番号_テスト用</x:v>
      </x:c>
      <x:c r="O1" s="93" t="str">
        <x:v>備考</x:v>
      </x:c>
    </x:row>
    <x:row r="2">
      <x:c r="A2" s="126" t="str">
        <x:v>C0001</x:v>
      </x:c>
      <x:c r="B2" s="123" t="str">
        <x:v>山田 太郎</x:v>
      </x:c>
      <x:c r="C2" s="123" t="str">
        <x:v>ヤマダ タロウ</x:v>
      </x:c>
      <x:c r="D2" s="127" t="str">
        <x:v>株式会社青空製作所</x:v>
      </x:c>
      <x:c r="E2" s="127" t="str">
        <x:v>営業部</x:v>
      </x:c>
      <x:c r="F2" s="127" t="str">
        <x:v>部長</x:v>
      </x:c>
      <x:c r="G2" s="127" t="str">
        <x:v>100-0001</x:v>
      </x:c>
      <x:c r="H2" s="127" t="str">
        <x:v>東京都千代田区千代田1-1 テストビル301</x:v>
      </x:c>
      <x:c r="I2" s="123" t="str">
        <x:v>03-1234-5678</x:v>
      </x:c>
      <x:c r="J2" s="123" t="str">
        <x:v>090-1111-2222</x:v>
      </x:c>
      <x:c r="K2" s="123" t="str">
        <x:v>taro.yamada@example.com</x:v>
      </x:c>
      <x:c r="L2" s="155" t="n">
        <x:v>30056</x:v>
      </x:c>
      <x:c r="M2" s="123" t="str">
        <x:v>M-000001</x:v>
      </x:c>
      <x:c r="N2" s="123" t="str">
        <x:v>123456789012</x:v>
      </x:c>
      <x:c r="O2" s="134" t="str">
        <x:v>請求書は山田部長宛。緊急時は携帯へ連絡。</x:v>
      </x:c>
    </x:row>
    <x:row r="3">
      <x:c r="A3" s="126" t="str">
        <x:v>C0002</x:v>
      </x:c>
      <x:c r="B3" s="123" t="str">
        <x:v>佐藤 花子</x:v>
      </x:c>
      <x:c r="C3" s="123" t="str">
        <x:v>サトウ ハナコ</x:v>
      </x:c>
      <x:c r="D3" s="127" t="str">
        <x:v>みらい食品株式会社</x:v>
      </x:c>
      <x:c r="E3" s="127" t="str">
        <x:v>商品開発課</x:v>
      </x:c>
      <x:c r="F3" s="127" t="str">
        <x:v>課長</x:v>
      </x:c>
      <x:c r="G3" s="127" t="str">
        <x:v>460-0008</x:v>
      </x:c>
      <x:c r="H3" s="127" t="str">
        <x:v>愛知県名古屋市中区栄3-1-1 架空タワー8F</x:v>
      </x:c>
      <x:c r="I3" s="123" t="str">
        <x:v>052-234-5678</x:v>
      </x:c>
      <x:c r="J3" s="123" t="str">
        <x:v>080-2222-3333</x:v>
      </x:c>
      <x:c r="K3" s="123" t="str">
        <x:v>hanako.sato@example.jp</x:v>
      </x:c>
      <x:c r="L3" s="155" t="n">
        <x:v>33179</x:v>
      </x:c>
      <x:c r="M3" s="123" t="str">
        <x:v>M-000002</x:v>
      </x:c>
      <x:c r="N3" s="123" t="str">
        <x:v>987654321098</x:v>
      </x:c>
      <x:c r="O3" s="134" t="str">
        <x:v>旧姓は鈴木。登録名は佐藤花子。</x:v>
      </x:c>
    </x:row>
    <x:row r="4">
      <x:c r="A4" s="126" t="str">
        <x:v>C0003</x:v>
      </x:c>
      <x:c r="B4" s="123" t="str">
        <x:v>髙橋 一郎</x:v>
      </x:c>
      <x:c r="C4" s="123" t="str">
        <x:v>タカハシ イチロウ</x:v>
      </x:c>
      <x:c r="D4" s="127" t="str">
        <x:v>高橋物流有限会社</x:v>
      </x:c>
      <x:c r="E4" s="127" t="str">
        <x:v>総務</x:v>
      </x:c>
      <x:c r="F4" s="127" t="str">
        <x:v>代表取締役</x:v>
      </x:c>
      <x:c r="G4" s="127" t="str">
        <x:v>530-0001</x:v>
      </x:c>
      <x:c r="H4" s="127" t="str">
        <x:v>大阪府大阪市北区梅田1丁目2番3号</x:v>
      </x:c>
      <x:c r="I4" s="123" t="str">
        <x:v>06-3456-7890</x:v>
      </x:c>
      <x:c r="J4" s="123" t="str">
        <x:v>070-3333-4444</x:v>
      </x:c>
      <x:c r="K4" s="123" t="str">
        <x:v>ichiro.takahashi@example.net</x:v>
      </x:c>
      <x:c r="L4" s="155" t="n">
        <x:v>27403</x:v>
      </x:c>
      <x:c r="M4" s="123" t="str">
        <x:v>M-000003</x:v>
      </x:c>
      <x:c r="N4" s="123" t="str">
        <x:v>111122223333</x:v>
      </x:c>
      <x:c r="O4" s="134" t="str">
        <x:v>「髙」と「高」の表記ゆれあり。</x:v>
      </x:c>
    </x:row>
    <x:row r="5">
      <x:c r="A5" s="126" t="str">
        <x:v>C0004</x:v>
      </x:c>
      <x:c r="B5" s="123" t="str">
        <x:v>渡邊 美咲</x:v>
      </x:c>
      <x:c r="C5" s="123" t="str">
        <x:v>ワタナベ ミサキ</x:v>
      </x:c>
      <x:c r="D5" s="127" t="str">
        <x:v>株式会社しらさぎ</x:v>
      </x:c>
      <x:c r="E5" s="127" t="str">
        <x:v>管理部</x:v>
      </x:c>
      <x:c r="F5" s="127" t="str">
        <x:v>主任</x:v>
      </x:c>
      <x:c r="G5" s="127" t="str">
        <x:v>520-0044</x:v>
      </x:c>
      <x:c r="H5" s="127" t="str">
        <x:v>滋賀県大津市京町四丁目1番1号</x:v>
      </x:c>
      <x:c r="I5" s="123" t="str">
        <x:v>077-456-7890</x:v>
      </x:c>
      <x:c r="J5" s="123" t="str">
        <x:v>090-4444-5555</x:v>
      </x:c>
      <x:c r="K5" s="123" t="str">
        <x:v>misaki.watanabe@example.org</x:v>
      </x:c>
      <x:c r="L5" s="155" t="n">
        <x:v>32345</x:v>
      </x:c>
      <x:c r="M5" s="123" t="str">
        <x:v>M-000004</x:v>
      </x:c>
      <x:c r="N5" s="123" t="str">
        <x:v>444455556666</x:v>
      </x:c>
      <x:c r="O5" s="134" t="str">
        <x:v>渡辺、渡邊、Watanabeの表記あり。</x:v>
      </x:c>
    </x:row>
    <x:row r="6">
      <x:c r="A6" s="126" t="str">
        <x:v>C0005</x:v>
      </x:c>
      <x:c r="B6" s="123" t="str">
        <x:v>John Smith</x:v>
      </x:c>
      <x:c r="C6" s="123" t="str">
        <x:v>ジョン スミス</x:v>
      </x:c>
      <x:c r="D6" s="127" t="str">
        <x:v>Example Global KK</x:v>
      </x:c>
      <x:c r="E6" s="127" t="str">
        <x:v>Finance</x:v>
      </x:c>
      <x:c r="F6" s="127" t="str">
        <x:v>CFO</x:v>
      </x:c>
      <x:c r="G6" s="127" t="str">
        <x:v>105-0011</x:v>
      </x:c>
      <x:c r="H6" s="127" t="str">
        <x:v>Tokyo-to Minato-ku Shibakoen 1-2-3</x:v>
      </x:c>
      <x:c r="I6" s="123" t="str">
        <x:v>+81-3-5555-0101</x:v>
      </x:c>
      <x:c r="J6" s="123" t="str">
        <x:v>+81-90-5555-6666</x:v>
      </x:c>
      <x:c r="K6" s="123" t="str">
        <x:v>john.smith@example.com</x:v>
      </x:c>
      <x:c r="L6" s="155" t="n">
        <x:v>29220</x:v>
      </x:c>
      <x:c r="M6" s="123" t="str">
        <x:v>M-000005</x:v>
      </x:c>
      <x:c r="N6" s="123" t="str">
        <x:v>777788889999</x:v>
      </x:c>
      <x:c r="O6" s="134" t="str">
        <x:v>英語氏名と国際電話番号。</x:v>
      </x:c>
    </x:row>
    <x:row r="7">
      <x:c r="A7" s="126" t="str">
        <x:v>C0006</x:v>
      </x:c>
      <x:c r="B7" s="123" t="str">
        <x:v>南 あかり</x:v>
      </x:c>
      <x:c r="C7" s="123" t="str">
        <x:v>ミナミ アカリ</x:v>
      </x:c>
      <x:c r="D7" s="127" t="str">
        <x:v>南工業株式会社</x:v>
      </x:c>
      <x:c r="E7" s="127" t="str">
        <x:v>南工場</x:v>
      </x:c>
      <x:c r="F7" s="127" t="str">
        <x:v>工場長</x:v>
      </x:c>
      <x:c r="G7" s="127" t="str">
        <x:v>422-8005</x:v>
      </x:c>
      <x:c r="H7" s="127" t="str">
        <x:v>静岡県静岡市駿河区池田100-10</x:v>
      </x:c>
      <x:c r="I7" s="123" t="str">
        <x:v>054-678-9012</x:v>
      </x:c>
      <x:c r="J7" s="123" t="str">
        <x:v>０９０－６６６６－７７７７</x:v>
      </x:c>
      <x:c r="K7" s="123" t="str">
        <x:v>a.minami@example.com</x:v>
      </x:c>
      <x:c r="L7" s="155" t="n">
        <x:v>34031</x:v>
      </x:c>
      <x:c r="M7" s="123" t="str">
        <x:v>M-000006</x:v>
      </x:c>
      <x:c r="N7" s="123" t="str">
        <x:v>000011112222</x:v>
      </x:c>
      <x:c r="O7" s="134" t="str">
        <x:v>「南」は氏名・会社名・工場名に登場。</x:v>
      </x:c>
    </x:row>
    <x:row r="8">
      <x:c r="A8" s="126" t="str">
        <x:v>C0007</x:v>
      </x:c>
      <x:c r="B8" s="123" t="str">
        <x:v>森</x:v>
      </x:c>
      <x:c r="C8" s="123" t="str">
        <x:v>モリ</x:v>
      </x:c>
      <x:c r="D8" s="127" t="str">
        <x:v>森の家具株式会社</x:v>
      </x:c>
      <x:c r="E8" s="127" t="str">
        <x:v>企画室</x:v>
      </x:c>
      <x:c r="F8" s="127"/>
      <x:c r="G8" s="127" t="str">
        <x:v>506-0001</x:v>
      </x:c>
      <x:c r="H8" s="127" t="str">
        <x:v>岐阜県高山市冬頭町9-9</x:v>
      </x:c>
      <x:c r="I8" s="123"/>
      <x:c r="J8" s="123" t="str">
        <x:v>09012345678</x:v>
      </x:c>
      <x:c r="K8" s="123" t="str">
        <x:v>mori@example.com</x:v>
      </x:c>
      <x:c r="L8" s="155"/>
      <x:c r="M8" s="123" t="str">
        <x:v>M-000007</x:v>
      </x:c>
      <x:c r="N8" s="123"/>
      <x:c r="O8" s="134" t="str">
        <x:v>氏名が一文字。電話番号はハイフンなし。</x:v>
      </x:c>
    </x:row>
    <x:row r="9">
      <x:c r="A9" s="126" t="str">
        <x:v>C0008</x:v>
      </x:c>
      <x:c r="B9" s="123" t="str">
        <x:v>小鳥遊 雫</x:v>
      </x:c>
      <x:c r="C9" s="123" t="str">
        <x:v>タカナシ シズク</x:v>
      </x:c>
      <x:c r="D9" s="127" t="str">
        <x:v>月見商事合同会社</x:v>
      </x:c>
      <x:c r="E9" s="127" t="str">
        <x:v>研究開発</x:v>
      </x:c>
      <x:c r="F9" s="127" t="str">
        <x:v>担当</x:v>
      </x:c>
      <x:c r="G9" s="127" t="str">
        <x:v>060-0001</x:v>
      </x:c>
      <x:c r="H9" s="127" t="str">
        <x:v>北海道札幌市中央区北一条西2-3</x:v>
      </x:c>
      <x:c r="I9" s="123" t="str">
        <x:v>011-789-0123</x:v>
      </x:c>
      <x:c r="J9" s="123" t="str">
        <x:v>080 8888 9999</x:v>
      </x:c>
      <x:c r="K9" s="123" t="str">
        <x:v>shizuku.takanashi+test@example.com</x:v>
      </x:c>
      <x:c r="L9" s="155" t="n">
        <x:v>36585</x:v>
      </x:c>
      <x:c r="M9" s="123" t="str">
        <x:v>M-000008</x:v>
      </x:c>
      <x:c r="N9" s="123" t="str">
        <x:v>333344445555</x:v>
      </x:c>
      <x:c r="O9" s="134" t="str">
        <x:v>珍しい読み方、メールにプラス記号。</x:v>
      </x:c>
    </x:row>
    <x:row r="10">
      <x:c r="A10" s="126" t="str">
        <x:v>C0009</x:v>
      </x:c>
      <x:c r="B10" s="123" t="str">
        <x:v>佐藤　花子</x:v>
      </x:c>
      <x:c r="C10" s="123" t="str">
        <x:v>サトウ　ハナコ</x:v>
      </x:c>
      <x:c r="D10" s="127" t="str">
        <x:v>みらい食品株式会社</x:v>
      </x:c>
      <x:c r="E10" s="127" t="str">
        <x:v>商品開発課</x:v>
      </x:c>
      <x:c r="F10" s="127" t="str">
        <x:v>課長</x:v>
      </x:c>
      <x:c r="G10" s="127" t="str">
        <x:v>4600008</x:v>
      </x:c>
      <x:c r="H10" s="127" t="str">
        <x:v>愛知県名古屋市中区栄3丁目1番1号</x:v>
      </x:c>
      <x:c r="I10" s="123" t="str">
        <x:v>0522345678</x:v>
      </x:c>
      <x:c r="J10" s="123" t="str">
        <x:v>08022223333</x:v>
      </x:c>
      <x:c r="K10" s="123" t="str">
        <x:v>HANAKO.SATO@EXAMPLE.JP</x:v>
      </x:c>
      <x:c r="L10" s="155" t="n">
        <x:v>33179</x:v>
      </x:c>
      <x:c r="M10" s="123" t="str">
        <x:v>M-000009</x:v>
      </x:c>
      <x:c r="N10" s="123" t="str">
        <x:v>987654321098</x:v>
      </x:c>
      <x:c r="O10" s="134" t="str">
        <x:v>C0002と同一人物を想定。全角空白・表記ゆれ。</x:v>
      </x:c>
    </x:row>
    <x:row r="11">
      <x:c r="A11" s="129" t="str">
        <x:v>C0010</x:v>
      </x:c>
      <x:c r="B11" s="131"/>
      <x:c r="C11" s="131"/>
      <x:c r="D11" s="130" t="str">
        <x:v>匿名希望</x:v>
      </x:c>
      <x:c r="E11" s="130"/>
      <x:c r="F11" s="130"/>
      <x:c r="G11" s="130"/>
      <x:c r="H11" s="130"/>
      <x:c r="I11" s="131"/>
      <x:c r="J11" s="131"/>
      <x:c r="K11" s="131"/>
      <x:c r="L11" s="156"/>
      <x:c r="M11" s="131" t="str">
        <x:v>M-000010</x:v>
      </x:c>
      <x:c r="N11" s="131"/>
      <x:c r="O11" s="136" t="str">
        <x:v>氏名・連絡先が空欄。</x:v>
      </x:c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pageMargins left="0.7" right="0.7" top="0.75" bottom="0.75" header="0.3" footer="0.3"/>
  <x:tableParts count="1">
    <x:tablePart xmlns:r="http://schemas.openxmlformats.org/officeDocument/2006/relationships" r:id="R3e31641a276f4b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62" hidden="0" customWidth="1"/>
    <x:col min="5" max="5" width="36" hidden="0" customWidth="1"/>
    <x:col min="6" max="6" width="13" hidden="0" customWidth="1"/>
  </x:cols>
  <x:sheetData>
    <x:row r="1">
      <x:c r="A1" s="91" t="str">
        <x:v>受付番号</x:v>
      </x:c>
      <x:c r="B1" s="92" t="str">
        <x:v>受付日時</x:v>
      </x:c>
      <x:c r="C1" s="92" t="str">
        <x:v>チャネル</x:v>
      </x:c>
      <x:c r="D1" s="92" t="str">
        <x:v>問い合わせ本文</x:v>
      </x:c>
      <x:c r="E1" s="92" t="str">
        <x:v>担当者メモ</x:v>
      </x:c>
      <x:c r="F1" s="93" t="str">
        <x:v>検出難易度</x:v>
      </x:c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6" t="str">
        <x:v>Q-001</x:v>
      </x:c>
      <x:c r="B2" s="163" t="n">
        <x:v>46204.385416666664</x:v>
      </x:c>
      <x:c r="C2" s="123" t="str">
        <x:v>メール</x:v>
      </x:c>
      <x:c r="D2" s="127" t="str">
        <x:v>山田太郎です。東京都千代田区千代田1-1に資料を送ってください。電話は090-1111-2222です。</x:v>
      </x:c>
      <x:c r="E2" s="127" t="str">
        <x:v>顧客マスタC0001と同一人物。</x:v>
      </x:c>
      <x:c r="F2" s="128" t="str">
        <x:v>基本</x:v>
      </x:c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6" t="str">
        <x:v>Q-002</x:v>
      </x:c>
      <x:c r="B3" s="163" t="n">
        <x:v>46204.444444444445</x:v>
      </x:c>
      <x:c r="C3" s="123" t="str">
        <x:v>Webフォーム</x:v>
      </x:c>
      <x:c r="D3" s="127" t="str">
        <x:v>担当の佐藤さんへ。hanako.sato@example.jp に見積書をお願いします。会社はみらい食品株式会社です。</x:v>
      </x:c>
      <x:c r="E3" s="127" t="str">
        <x:v>姓だけの呼称と完全なメールアドレスが混在。</x:v>
      </x:c>
      <x:c r="F3" s="128" t="str">
        <x:v>中</x:v>
      </x:c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6" t="str">
        <x:v>Q-003</x:v>
      </x:c>
      <x:c r="B4" s="163" t="n">
        <x:v>46205.586805555555</x:v>
      </x:c>
      <x:c r="C4" s="123" t="str">
        <x:v>電話</x:v>
      </x:c>
      <x:c r="D4" s="127" t="str">
        <x:v>高橋物流の髙橋です。住所は大阪市北区梅田1-2-3。携帯07033334444へ折り返してください。</x:v>
      </x:c>
      <x:c r="E4" s="127" t="str">
        <x:v>会社名は「高」、氏名は「髙」。</x:v>
      </x:c>
      <x:c r="F4" s="128" t="str">
        <x:v>高</x:v>
      </x:c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126" t="str">
        <x:v>Q-004</x:v>
      </x:c>
      <x:c r="B5" s="163" t="n">
        <x:v>46205.6875</x:v>
      </x:c>
      <x:c r="C5" s="123" t="str">
        <x:v>面談</x:v>
      </x:c>
      <x:c r="D5" s="127" t="str">
        <x:v>渡辺美咲様から、7月15日14時に大津市京町の本社で打合せしたいとの連絡。</x:v>
      </x:c>
      <x:c r="E5" s="127" t="str">
        <x:v>顧客マスタでは渡邊。住所は途中まで。</x:v>
      </x:c>
      <x:c r="F5" s="128" t="str">
        <x:v>高</x:v>
      </x:c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Q-005</x:v>
      </x:c>
      <x:c r="B6" s="163" t="n">
        <x:v>46206.458333333336</x:v>
      </x:c>
      <x:c r="C6" s="123" t="str">
        <x:v>チャット</x:v>
      </x:c>
      <x:c r="D6" s="127" t="str">
        <x:v>My name is John Smith. Please call me at +81 90 5555 6666 or email john.smith@example.com.</x:v>
      </x:c>
      <x:c r="E6" s="127" t="str">
        <x:v>英語文章。</x:v>
      </x:c>
      <x:c r="F6" s="128" t="str">
        <x:v>中</x:v>
      </x:c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Q-006</x:v>
      </x:c>
      <x:c r="B7" s="163" t="n">
        <x:v>46206.555555555555</x:v>
      </x:c>
      <x:c r="C7" s="123" t="str">
        <x:v>メール</x:v>
      </x:c>
      <x:c r="D7" s="127" t="str">
        <x:v>南工場の南です。南側の入口から入り、森を抜けた先の建物へお越しください。</x:v>
      </x:c>
      <x:c r="E7" s="127" t="str">
        <x:v>「南」「森」が氏名・組織・一般語として混在。</x:v>
      </x:c>
      <x:c r="F7" s="128" t="str">
        <x:v>最高</x:v>
      </x:c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Q-007</x:v>
      </x:c>
      <x:c r="B8" s="163" t="n">
        <x:v>46207.37152777778</x:v>
      </x:c>
      <x:c r="C8" s="123" t="str">
        <x:v>Webフォーム</x:v>
      </x:c>
      <x:c r="D8" s="127" t="str">
        <x:v>口座は架空銀行 名古屋支店 普通 1234567、名義はサトウ ハナコです。</x:v>
      </x:c>
      <x:c r="E8" s="127" t="str">
        <x:v>金融情報を含む。</x:v>
      </x:c>
      <x:c r="F8" s="128" t="str">
        <x:v>高</x:v>
      </x:c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Q-008</x:v>
      </x:c>
      <x:c r="B9" s="163" t="n">
        <x:v>46207.37847222222</x:v>
      </x:c>
      <x:c r="C9" s="123" t="str">
        <x:v>メール</x:v>
      </x:c>
      <x:c r="D9" s="127" t="str">
        <x:v>パスワードはTest-Only-Password!2026、APIキーはsk-test-1234567890abcdefです。</x:v>
      </x:c>
      <x:c r="E9" s="127" t="str">
        <x:v>個人情報ではないが機密情報。</x:v>
      </x:c>
      <x:c r="F9" s="128" t="str">
        <x:v>高</x:v>
      </x:c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Q-009</x:v>
      </x:c>
      <x:c r="B10" s="163" t="n">
        <x:v>46208.739583333336</x:v>
      </x:c>
      <x:c r="C10" s="123" t="str">
        <x:v>電話</x:v>
      </x:c>
      <x:c r="D10" s="127" t="str">
        <x:v>昨日の件、例の会社の例の人へ連絡しておいてください。番号は下4桁が2222です。</x:v>
      </x:c>
      <x:c r="E10" s="127" t="str">
        <x:v>情報が不完全で、自動特定してはいけない。</x:v>
      </x:c>
      <x:c r="F10" s="128" t="str">
        <x:v>最高</x:v>
      </x:c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6" t="str">
        <x:v>Q-010</x:v>
      </x:c>
      <x:c r="B11" s="163" t="n">
        <x:v>46209.5</x:v>
      </x:c>
      <x:c r="C11" s="123" t="str">
        <x:v>アンケート</x:v>
      </x:c>
      <x:c r="D11" s="127" t="str">
        <x:v>対応が丁寧でした。特に森さんの説明が分かりやすかったです。</x:v>
      </x:c>
      <x:c r="E11" s="127" t="str">
        <x:v>姓のみ。顧客の森か社員の森か不明。</x:v>
      </x:c>
      <x:c r="F11" s="128" t="str">
        <x:v>最高</x:v>
      </x:c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6" t="str">
        <x:v>Q-011</x:v>
      </x:c>
      <x:c r="B12" s="163" t="n">
        <x:v>46210.756944444445</x:v>
      </x:c>
      <x:c r="C12" s="123" t="str">
        <x:v>メール</x:v>
      </x:c>
      <x:c r="D12" s="127" t="str">
        <x:v>連絡先：０８０－２２２２－３３３３　メール：ＨＡＮＡＫＯ．ＳＡＴＯ＠ＥＸＡＭＰＬＥ．ＪＰ</x:v>
      </x:c>
      <x:c r="E12" s="127" t="str">
        <x:v>全角英数字と全角記号。</x:v>
      </x:c>
      <x:c r="F12" s="128" t="str">
        <x:v>最高</x:v>
      </x:c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9" t="str">
        <x:v>Q-012</x:v>
      </x:c>
      <x:c r="B13" s="164" t="n">
        <x:v>46211.375</x:v>
      </x:c>
      <x:c r="C13" s="131" t="str">
        <x:v>チャット</x:v>
      </x:c>
      <x:c r="D13" s="130" t="str">
        <x:v>住所変更：〒4600008 愛知県名古屋市中区栄三丁目一番一号 架空タワー八階</x:v>
      </x:c>
      <x:c r="E13" s="130" t="str">
        <x:v>漢数字を含む住所。</x:v>
      </x:c>
      <x:c r="F13" s="132" t="str">
        <x:v>高</x:v>
      </x:c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conditionalFormatting sqref="F2:F13">
    <x:cfRule type="expression" dxfId="0" priority="1">
      <x:formula>F2="最高"</x:formula>
    </x:cfRule>
    <x:cfRule type="expression" dxfId="1" priority="2">
      <x:formula>F2="高"</x:formula>
    </x:cfRule>
  </x:conditionalFormatting>
  <x:dataValidations count="1">
    <x:dataValidation type="list" sqref="F2:F13">
      <x:formula1>"基本,中,高,最高"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935ca1677b48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7" hidden="0" customWidth="1"/>
    <x:col min="4" max="4" width="12" hidden="0" customWidth="1"/>
    <x:col min="5" max="5" width="13" hidden="0" customWidth="1"/>
    <x:col min="6" max="6" width="14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8" hidden="0" customWidth="1"/>
    <x:col min="12" max="12" width="30" hidden="0" customWidth="1"/>
    <x:col min="13" max="13" width="37" hidden="0" customWidth="1"/>
  </x:cols>
  <x:sheetData>
    <x:row r="1">
      <x:c r="A1" s="91" t="str">
        <x:v>社員番号</x:v>
      </x:c>
      <x:c r="B1" s="92" t="str">
        <x:v>氏名</x:v>
      </x:c>
      <x:c r="C1" s="92" t="str">
        <x:v>所属</x:v>
      </x:c>
      <x:c r="D1" s="92" t="str">
        <x:v>役職</x:v>
      </x:c>
      <x:c r="E1" s="92" t="str">
        <x:v>入社日</x:v>
      </x:c>
      <x:c r="F1" s="92" t="str">
        <x:v>基本給</x:v>
      </x:c>
      <x:c r="G1" s="92" t="str">
        <x:v>賞与見込</x:v>
      </x:c>
      <x:c r="H1" s="92" t="str">
        <x:v>評価ランク</x:v>
      </x:c>
      <x:c r="I1" s="92" t="str">
        <x:v>扶養家族数</x:v>
      </x:c>
      <x:c r="J1" s="92" t="str">
        <x:v>緊急連絡先氏名</x:v>
      </x:c>
      <x:c r="K1" s="92" t="str">
        <x:v>緊急連絡先電話</x:v>
      </x:c>
      <x:c r="L1" s="92" t="str">
        <x:v>健康・配慮情報</x:v>
      </x:c>
      <x:c r="M1" s="93" t="str">
        <x:v>上司メモ</x:v>
      </x:c>
      <x:c r="N1" s="123"/>
      <x:c r="O1" s="123"/>
    </x:row>
    <x:row r="2">
      <x:c r="A2" s="126" t="str">
        <x:v>E001</x:v>
      </x:c>
      <x:c r="B2" s="123" t="str">
        <x:v>田中 健一</x:v>
      </x:c>
      <x:c r="C2" s="123" t="str">
        <x:v>営業部</x:v>
      </x:c>
      <x:c r="D2" s="123" t="str">
        <x:v>課長</x:v>
      </x:c>
      <x:c r="E2" s="155" t="n">
        <x:v>42095</x:v>
      </x:c>
      <x:c r="F2" s="171" t="n">
        <x:v>420000</x:v>
      </x:c>
      <x:c r="G2" s="171" t="n">
        <x:v>900000</x:v>
      </x:c>
      <x:c r="H2" s="123" t="str">
        <x:v>A</x:v>
      </x:c>
      <x:c r="I2" s="123" t="n">
        <x:v>2</x:v>
      </x:c>
      <x:c r="J2" s="123" t="str">
        <x:v>田中 恵</x:v>
      </x:c>
      <x:c r="K2" s="123" t="str">
        <x:v>090-7000-1001</x:v>
      </x:c>
      <x:c r="L2" s="127" t="str">
        <x:v>腰痛のため重量物運搬を避ける</x:v>
      </x:c>
      <x:c r="M2" s="134" t="str">
        <x:v>次期部長候補。顧客A社との関係が強い。</x:v>
      </x:c>
      <x:c r="N2" s="123"/>
      <x:c r="O2" s="123"/>
    </x:row>
    <x:row r="3">
      <x:c r="A3" s="126" t="str">
        <x:v>E002</x:v>
      </x:c>
      <x:c r="B3" s="123" t="str">
        <x:v>森 直子</x:v>
      </x:c>
      <x:c r="C3" s="123" t="str">
        <x:v>総務部</x:v>
      </x:c>
      <x:c r="D3" s="123" t="str">
        <x:v>主任</x:v>
      </x:c>
      <x:c r="E3" s="155" t="n">
        <x:v>43739</x:v>
      </x:c>
      <x:c r="F3" s="171" t="n">
        <x:v>310000</x:v>
      </x:c>
      <x:c r="G3" s="171" t="n">
        <x:v>520000</x:v>
      </x:c>
      <x:c r="H3" s="123" t="str">
        <x:v>B</x:v>
      </x:c>
      <x:c r="I3" s="123" t="n">
        <x:v>0</x:v>
      </x:c>
      <x:c r="J3" s="123" t="str">
        <x:v>森 一郎</x:v>
      </x:c>
      <x:c r="K3" s="123" t="str">
        <x:v>080-7000-1002</x:v>
      </x:c>
      <x:c r="L3" s="127"/>
      <x:c r="M3" s="134" t="str">
        <x:v>勤怠管理システムの管理者。</x:v>
      </x:c>
      <x:c r="N3" s="123"/>
      <x:c r="O3" s="123"/>
    </x:row>
    <x:row r="4">
      <x:c r="A4" s="126" t="str">
        <x:v>E003</x:v>
      </x:c>
      <x:c r="B4" s="123" t="str">
        <x:v>佐藤 花子</x:v>
      </x:c>
      <x:c r="C4" s="123" t="str">
        <x:v>商品企画部</x:v>
      </x:c>
      <x:c r="D4" s="123" t="str">
        <x:v>課長</x:v>
      </x:c>
      <x:c r="E4" s="155" t="n">
        <x:v>42926</x:v>
      </x:c>
      <x:c r="F4" s="171" t="n">
        <x:v>380000</x:v>
      </x:c>
      <x:c r="G4" s="171" t="n">
        <x:v>760000</x:v>
      </x:c>
      <x:c r="H4" s="123" t="str">
        <x:v>A</x:v>
      </x:c>
      <x:c r="I4" s="123" t="n">
        <x:v>1</x:v>
      </x:c>
      <x:c r="J4" s="123" t="str">
        <x:v>鈴木 春子</x:v>
      </x:c>
      <x:c r="K4" s="123" t="str">
        <x:v>070-7000-1003</x:v>
      </x:c>
      <x:c r="L4" s="127" t="str">
        <x:v>育児短時間勤務を利用中</x:v>
      </x:c>
      <x:c r="M4" s="134" t="str">
        <x:v>顧客マスタC0002と同名だが、同一人物かは未確定。</x:v>
      </x:c>
      <x:c r="N4" s="123"/>
      <x:c r="O4" s="123"/>
    </x:row>
    <x:row r="5">
      <x:c r="A5" s="126" t="str">
        <x:v>E004</x:v>
      </x:c>
      <x:c r="B5" s="123" t="str">
        <x:v>伊藤 大輔</x:v>
      </x:c>
      <x:c r="C5" s="123" t="str">
        <x:v>情報システム部</x:v>
      </x:c>
      <x:c r="D5" s="123" t="str">
        <x:v>担当</x:v>
      </x:c>
      <x:c r="E5" s="155" t="n">
        <x:v>45017</x:v>
      </x:c>
      <x:c r="F5" s="171" t="n">
        <x:v>270000</x:v>
      </x:c>
      <x:c r="G5" s="171" t="n">
        <x:v>350000</x:v>
      </x:c>
      <x:c r="H5" s="123" t="str">
        <x:v>B</x:v>
      </x:c>
      <x:c r="I5" s="123" t="n">
        <x:v>0</x:v>
      </x:c>
      <x:c r="J5" s="123" t="str">
        <x:v>伊藤 和子</x:v>
      </x:c>
      <x:c r="K5" s="123" t="str">
        <x:v>090-7000-1004</x:v>
      </x:c>
      <x:c r="L5" s="127"/>
      <x:c r="M5" s="134" t="str">
        <x:v>本番サーバーの管理権限あり。</x:v>
      </x:c>
      <x:c r="N5" s="123"/>
      <x:c r="O5" s="123"/>
    </x:row>
    <x:row r="6">
      <x:c r="A6" s="126" t="str">
        <x:v>E005</x:v>
      </x:c>
      <x:c r="B6" s="123" t="str">
        <x:v>王 小明</x:v>
      </x:c>
      <x:c r="C6" s="123" t="str">
        <x:v>海外事業部</x:v>
      </x:c>
      <x:c r="D6" s="123" t="str">
        <x:v>主任</x:v>
      </x:c>
      <x:c r="E6" s="155" t="n">
        <x:v>44454</x:v>
      </x:c>
      <x:c r="F6" s="171" t="n">
        <x:v>330000</x:v>
      </x:c>
      <x:c r="G6" s="171" t="n">
        <x:v>600000</x:v>
      </x:c>
      <x:c r="H6" s="123" t="str">
        <x:v>A</x:v>
      </x:c>
      <x:c r="I6" s="123" t="n">
        <x:v>1</x:v>
      </x:c>
      <x:c r="J6" s="123" t="str">
        <x:v>王 麗</x:v>
      </x:c>
      <x:c r="K6" s="123" t="str">
        <x:v>+81-80-7000-1005</x:v>
      </x:c>
      <x:c r="L6" s="127" t="str">
        <x:v>在留資格の更新予定あり</x:v>
      </x:c>
      <x:c r="M6" s="134" t="str">
        <x:v>中国語対応が可能。</x:v>
      </x:c>
      <x:c r="N6" s="123"/>
      <x:c r="O6" s="123"/>
    </x:row>
    <x:row r="7">
      <x:c r="A7" s="129" t="str">
        <x:v>E006</x:v>
      </x:c>
      <x:c r="B7" s="131" t="str">
        <x:v>山本 さくら</x:v>
      </x:c>
      <x:c r="C7" s="131" t="str">
        <x:v>製造部</x:v>
      </x:c>
      <x:c r="D7" s="131" t="str">
        <x:v>担当</x:v>
      </x:c>
      <x:c r="E7" s="156" t="n">
        <x:v>45748</x:v>
      </x:c>
      <x:c r="F7" s="172" t="n">
        <x:v>235000</x:v>
      </x:c>
      <x:c r="G7" s="172" t="n">
        <x:v>180000</x:v>
      </x:c>
      <x:c r="H7" s="131" t="str">
        <x:v>C</x:v>
      </x:c>
      <x:c r="I7" s="131" t="n">
        <x:v>0</x:v>
      </x:c>
      <x:c r="J7" s="131" t="str">
        <x:v>山本 浩</x:v>
      </x:c>
      <x:c r="K7" s="131" t="str">
        <x:v>090-7000-1006</x:v>
      </x:c>
      <x:c r="L7" s="130" t="str">
        <x:v>通院のため月1回遅出</x:v>
      </x:c>
      <x:c r="M7" s="136" t="str">
        <x:v>指導記録は別紙参照。</x:v>
      </x:c>
      <x:c r="N7" s="123"/>
      <x:c r="O7" s="123"/>
    </x:row>
    <x:row r="8">
      <x:c r="A8" s="123"/>
      <x:c r="B8" s="123"/>
      <x:c r="C8" s="123"/>
      <x:c r="D8" s="123"/>
      <x:c r="E8" s="123"/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3"/>
      <x:c r="B9" s="123"/>
      <x:c r="C9" s="123"/>
      <x:c r="D9" s="123"/>
      <x:c r="E9" s="123"/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dataValidations count="1">
    <x:dataValidation type="list" sqref="H2:H7">
      <x:formula1>"S,A,B,C,D"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c0e8f2ed434d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9" hidden="0" customWidth="1"/>
    <x:col min="4" max="4" width="16" hidden="0" customWidth="1"/>
    <x:col min="5" max="5" width="15" hidden="0" customWidth="1"/>
    <x:col min="6" max="6" width="15" hidden="0" customWidth="1"/>
    <x:col min="7" max="7" width="12" hidden="0" customWidth="1"/>
    <x:col min="8" max="8" width="24" hidden="0" customWidth="1"/>
    <x:col min="9" max="9" width="34" hidden="0" customWidth="1"/>
    <x:col min="10" max="10" width="16" hidden="0" customWidth="1"/>
    <x:col min="11" max="11" width="28" hidden="0" customWidth="1"/>
    <x:col min="12" max="12" width="42" hidden="0" customWidth="1"/>
  </x:cols>
  <x:sheetData>
    <x:row r="1">
      <x:c r="A1" s="91" t="str">
        <x:v>案件ID</x:v>
      </x:c>
      <x:c r="B1" s="92" t="str">
        <x:v>顧客企業</x:v>
      </x:c>
      <x:c r="C1" s="92" t="str">
        <x:v>案件名</x:v>
      </x:c>
      <x:c r="D1" s="92" t="str">
        <x:v>担当者</x:v>
      </x:c>
      <x:c r="E1" s="92" t="str">
        <x:v>見積金額</x:v>
      </x:c>
      <x:c r="F1" s="92" t="str">
        <x:v>原価見込</x:v>
      </x:c>
      <x:c r="G1" s="92" t="str">
        <x:v>粗利率</x:v>
      </x:c>
      <x:c r="H1" s="92" t="str">
        <x:v>仕入先</x:v>
      </x:c>
      <x:c r="I1" s="92" t="str">
        <x:v>銀行口座</x:v>
      </x:c>
      <x:c r="J1" s="92" t="str">
        <x:v>サーバーIP</x:v>
      </x:c>
      <x:c r="K1" s="92" t="str">
        <x:v>APIキー_テスト用</x:v>
      </x:c>
      <x:c r="L1" s="93" t="str">
        <x:v>社外秘メモ</x:v>
      </x:c>
      <x:c r="M1" s="123"/>
      <x:c r="N1" s="123"/>
      <x:c r="O1" s="123"/>
    </x:row>
    <x:row r="2">
      <x:c r="A2" s="126" t="str">
        <x:v>P-26001</x:v>
      </x:c>
      <x:c r="B2" s="127" t="str">
        <x:v>株式会社青空製作所</x:v>
      </x:c>
      <x:c r="C2" s="127" t="str">
        <x:v>次世代プレスライン刷新</x:v>
      </x:c>
      <x:c r="D2" s="127" t="str">
        <x:v>山田 太郎</x:v>
      </x:c>
      <x:c r="E2" s="171" t="n">
        <x:v>18500000</x:v>
      </x:c>
      <x:c r="F2" s="171" t="n">
        <x:v>13200000</x:v>
      </x:c>
      <x:c r="G2" s="179" t="n">
        <x:f>IFERROR((E2-F2)/E2,0)</x:f>
        <x:v>0.2864864864864865</x:v>
      </x:c>
      <x:c r="H2" s="127" t="str">
        <x:v>架空機械工業株式会社</x:v>
      </x:c>
      <x:c r="I2" s="127" t="str">
        <x:v>架空銀行 東京支店 普通 1234567</x:v>
      </x:c>
      <x:c r="J2" s="123" t="str">
        <x:v>192.0.2.10</x:v>
      </x:c>
      <x:c r="K2" s="127" t="str">
        <x:v>sk-test-A1B2C3D4E5F6</x:v>
      </x:c>
      <x:c r="L2" s="134" t="str">
        <x:v>競合B社より5％低い価格で最終提案予定。</x:v>
      </x:c>
      <x:c r="M2" s="123"/>
      <x:c r="N2" s="123"/>
      <x:c r="O2" s="123"/>
    </x:row>
    <x:row r="3">
      <x:c r="A3" s="126" t="str">
        <x:v>P-26002</x:v>
      </x:c>
      <x:c r="B3" s="127" t="str">
        <x:v>みらい食品株式会社</x:v>
      </x:c>
      <x:c r="C3" s="127" t="str">
        <x:v>豆乳鍋の素 新商品開発</x:v>
      </x:c>
      <x:c r="D3" s="127" t="str">
        <x:v>佐藤 花子</x:v>
      </x:c>
      <x:c r="E3" s="171" t="n">
        <x:v>6800000</x:v>
      </x:c>
      <x:c r="F3" s="171" t="n">
        <x:v>4100000</x:v>
      </x:c>
      <x:c r="G3" s="179" t="n">
        <x:f>IFERROR((E3-F3)/E3,0)</x:f>
        <x:v>0.39705882352941174</x:v>
      </x:c>
      <x:c r="H3" s="127" t="str">
        <x:v>テスト香料株式会社</x:v>
      </x:c>
      <x:c r="I3" s="127" t="str">
        <x:v>架空銀行 名古屋支店 普通 2345678</x:v>
      </x:c>
      <x:c r="J3" s="123" t="str">
        <x:v>198.51.100.25</x:v>
      </x:c>
      <x:c r="K3" s="127" t="str">
        <x:v>api_test_9876543210</x:v>
      </x:c>
      <x:c r="L3" s="134" t="str">
        <x:v>発売前情報。想定原価率は60％以下が条件。</x:v>
      </x:c>
      <x:c r="M3" s="123"/>
      <x:c r="N3" s="123"/>
      <x:c r="O3" s="123"/>
    </x:row>
    <x:row r="4">
      <x:c r="A4" s="126" t="str">
        <x:v>P-26003</x:v>
      </x:c>
      <x:c r="B4" s="127" t="str">
        <x:v>高橋物流有限会社</x:v>
      </x:c>
      <x:c r="C4" s="127" t="str">
        <x:v>配車システム再構築</x:v>
      </x:c>
      <x:c r="D4" s="127" t="str">
        <x:v>髙橋 一郎</x:v>
      </x:c>
      <x:c r="E4" s="171" t="n">
        <x:v>24000000</x:v>
      </x:c>
      <x:c r="F4" s="171" t="n">
        <x:v>17100000</x:v>
      </x:c>
      <x:c r="G4" s="179" t="n">
        <x:f>IFERROR((E4-F4)/E4,0)</x:f>
        <x:v>0.2875</x:v>
      </x:c>
      <x:c r="H4" s="127" t="str">
        <x:v>Example Systems合同会社</x:v>
      </x:c>
      <x:c r="I4" s="127" t="str">
        <x:v>架空信用金庫 大阪支店 当座 3456789</x:v>
      </x:c>
      <x:c r="J4" s="123" t="str">
        <x:v>203.0.113.40</x:v>
      </x:c>
      <x:c r="K4" s="127" t="str">
        <x:v>tok_test_xxxxxxxxxx</x:v>
      </x:c>
      <x:c r="L4" s="134" t="str">
        <x:v>既存ベンダーとの契約終了前のため、取扱注意。</x:v>
      </x:c>
      <x:c r="M4" s="123"/>
      <x:c r="N4" s="123"/>
      <x:c r="O4" s="123"/>
    </x:row>
    <x:row r="5">
      <x:c r="A5" s="126" t="str">
        <x:v>P-26004</x:v>
      </x:c>
      <x:c r="B5" s="127" t="str">
        <x:v>株式会社しらさぎ</x:v>
      </x:c>
      <x:c r="C5" s="127" t="str">
        <x:v>BCP・レジリエンス認証支援</x:v>
      </x:c>
      <x:c r="D5" s="127" t="str">
        <x:v>渡邊 美咲</x:v>
      </x:c>
      <x:c r="E5" s="171" t="n">
        <x:v>3200000</x:v>
      </x:c>
      <x:c r="F5" s="171" t="n">
        <x:v>1450000</x:v>
      </x:c>
      <x:c r="G5" s="179" t="n">
        <x:f>IFERROR((E5-F5)/E5,0)</x:f>
        <x:v>0.546875</x:v>
      </x:c>
      <x:c r="H5" s="127" t="str">
        <x:v>未来調査研究所</x:v>
      </x:c>
      <x:c r="I5" s="127" t="str">
        <x:v>架空銀行 滋賀支店 普通 4567890</x:v>
      </x:c>
      <x:c r="J5" s="123" t="str">
        <x:v>192.0.2.55</x:v>
      </x:c>
      <x:c r="K5" s="127" t="str">
        <x:v>secret-test-00000001</x:v>
      </x:c>
      <x:c r="L5" s="134" t="str">
        <x:v>経営会議前の草案。火災リスク評価は未確定。</x:v>
      </x:c>
      <x:c r="M5" s="123"/>
      <x:c r="N5" s="123"/>
      <x:c r="O5" s="123"/>
    </x:row>
    <x:row r="6">
      <x:c r="A6" s="129" t="str">
        <x:v>P-26005</x:v>
      </x:c>
      <x:c r="B6" s="130" t="str">
        <x:v>Example Global KK</x:v>
      </x:c>
      <x:c r="C6" s="130" t="str">
        <x:v>Japan Finance DX</x:v>
      </x:c>
      <x:c r="D6" s="130" t="str">
        <x:v>John Smith</x:v>
      </x:c>
      <x:c r="E6" s="172" t="n">
        <x:v>12000000</x:v>
      </x:c>
      <x:c r="F6" s="172" t="n">
        <x:v>8100000</x:v>
      </x:c>
      <x:c r="G6" s="180" t="n">
        <x:f>IFERROR((E6-F6)/E6,0)</x:f>
        <x:v>0.325</x:v>
      </x:c>
      <x:c r="H6" s="130" t="str">
        <x:v>Sample Cloud Inc.</x:v>
      </x:c>
      <x:c r="I6" s="130" t="str">
        <x:v>Test Bank Tokyo 5678901</x:v>
      </x:c>
      <x:c r="J6" s="131" t="str">
        <x:v>198.51.100.88</x:v>
      </x:c>
      <x:c r="K6" s="130" t="str">
        <x:v>Bearer test-token-abcdef</x:v>
      </x:c>
      <x:c r="L6" s="136" t="str">
        <x:v>未公表の組織再編情報を含む。</x:v>
      </x:c>
      <x:c r="M6" s="123"/>
      <x:c r="N6" s="123"/>
      <x:c r="O6" s="123"/>
    </x:row>
    <x:row r="7">
      <x:c r="A7" s="123"/>
      <x:c r="B7" s="123"/>
      <x:c r="C7" s="123"/>
      <x:c r="D7" s="123"/>
      <x:c r="E7" s="123"/>
      <x:c r="F7" s="123"/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3"/>
      <x:c r="B8" s="123"/>
      <x:c r="C8" s="123"/>
      <x:c r="D8" s="123"/>
      <x:c r="E8" s="123"/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3"/>
      <x:c r="B9" s="123"/>
      <x:c r="C9" s="123"/>
      <x:c r="D9" s="123"/>
      <x:c r="E9" s="123"/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pageMargins left="0.7" right="0.7" top="0.75" bottom="0.75" header="0.3" footer="0.3"/>
  <x:tableParts count="1">
    <x:tablePart xmlns:r="http://schemas.openxmlformats.org/officeDocument/2006/relationships" r:id="Rf208e5723a6d4e0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37" hidden="0" customWidth="1"/>
    <x:col min="4" max="4" width="42" hidden="0" customWidth="1"/>
    <x:col min="5" max="5" width="40" hidden="0" customWidth="1"/>
  </x:cols>
  <x:sheetData>
    <x:row r="1">
      <x:c r="A1" s="91" t="str">
        <x:v>ケースID</x:v>
      </x:c>
      <x:c r="B1" s="92" t="str">
        <x:v>分類</x:v>
      </x:c>
      <x:c r="C1" s="92" t="str">
        <x:v>入力値</x:v>
      </x:c>
      <x:c r="D1" s="92" t="str">
        <x:v>想定する正規化・判定</x:v>
      </x:c>
      <x:c r="E1" s="93" t="str">
        <x:v>注意点</x:v>
      </x:c>
      <x:c r="F1" s="123"/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6" t="str">
        <x:v>V001</x:v>
      </x:c>
      <x:c r="B2" s="123" t="str">
        <x:v>氏名</x:v>
      </x:c>
      <x:c r="C2" s="127" t="str">
        <x:v>佐藤 花子</x:v>
      </x:c>
      <x:c r="D2" s="127" t="str">
        <x:v>佐藤花子</x:v>
      </x:c>
      <x:c r="E2" s="134" t="str">
        <x:v>半角空白あり</x:v>
      </x:c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6" t="str">
        <x:v>V002</x:v>
      </x:c>
      <x:c r="B3" s="123" t="str">
        <x:v>氏名</x:v>
      </x:c>
      <x:c r="C3" s="127" t="str">
        <x:v>佐藤　花子</x:v>
      </x:c>
      <x:c r="D3" s="127" t="str">
        <x:v>佐藤花子</x:v>
      </x:c>
      <x:c r="E3" s="134" t="str">
        <x:v>全角空白あり</x:v>
      </x:c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6" t="str">
        <x:v>V003</x:v>
      </x:c>
      <x:c r="B4" s="123" t="str">
        <x:v>氏名</x:v>
      </x:c>
      <x:c r="C4" s="127" t="str">
        <x:v>さとう はなこ</x:v>
      </x:c>
      <x:c r="D4" s="127" t="str">
        <x:v>佐藤花子の候補</x:v>
      </x:c>
      <x:c r="E4" s="134" t="str">
        <x:v>ひらがな。自動確定は慎重に</x:v>
      </x:c>
      <x:c r="F4" s="123"/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126" t="str">
        <x:v>V004</x:v>
      </x:c>
      <x:c r="B5" s="123" t="str">
        <x:v>氏名</x:v>
      </x:c>
      <x:c r="C5" s="127" t="str">
        <x:v>SATO HANAKO</x:v>
      </x:c>
      <x:c r="D5" s="127" t="str">
        <x:v>佐藤花子の候補</x:v>
      </x:c>
      <x:c r="E5" s="134" t="str">
        <x:v>ローマ字。メール等との照合が必要</x:v>
      </x:c>
      <x:c r="F5" s="123"/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V005</x:v>
      </x:c>
      <x:c r="B6" s="123" t="str">
        <x:v>氏名</x:v>
      </x:c>
      <x:c r="C6" s="127" t="str">
        <x:v>髙橋 一郎</x:v>
      </x:c>
      <x:c r="D6" s="127" t="str">
        <x:v>高橋一郎と同一候補</x:v>
      </x:c>
      <x:c r="E6" s="134" t="str">
        <x:v>異体字</x:v>
      </x:c>
      <x:c r="F6" s="123"/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V006</x:v>
      </x:c>
      <x:c r="B7" s="123" t="str">
        <x:v>氏名</x:v>
      </x:c>
      <x:c r="C7" s="127" t="str">
        <x:v>渡辺美咲</x:v>
      </x:c>
      <x:c r="D7" s="127" t="str">
        <x:v>渡邊美咲と同一候補</x:v>
      </x:c>
      <x:c r="E7" s="134" t="str">
        <x:v>旧字体・新字体</x:v>
      </x:c>
      <x:c r="F7" s="123"/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V007</x:v>
      </x:c>
      <x:c r="B8" s="123" t="str">
        <x:v>電話</x:v>
      </x:c>
      <x:c r="C8" s="127" t="str">
        <x:v>090-1111-2222</x:v>
      </x:c>
      <x:c r="D8" s="127" t="str">
        <x:v>09011112222</x:v>
      </x:c>
      <x:c r="E8" s="134" t="str">
        <x:v>標準形式</x:v>
      </x:c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V008</x:v>
      </x:c>
      <x:c r="B9" s="123" t="str">
        <x:v>電話</x:v>
      </x:c>
      <x:c r="C9" s="127" t="str">
        <x:v>０９０－１１１１－２２２２</x:v>
      </x:c>
      <x:c r="D9" s="127" t="str">
        <x:v>09011112222</x:v>
      </x:c>
      <x:c r="E9" s="134" t="str">
        <x:v>全角数字・全角ハイフン</x:v>
      </x:c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V009</x:v>
      </x:c>
      <x:c r="B10" s="123" t="str">
        <x:v>電話</x:v>
      </x:c>
      <x:c r="C10" s="127" t="str">
        <x:v>+81 90 1111 2222</x:v>
      </x:c>
      <x:c r="D10" s="127" t="str">
        <x:v>09011112222</x:v>
      </x:c>
      <x:c r="E10" s="134" t="str">
        <x:v>国番号</x:v>
      </x:c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6" t="str">
        <x:v>V010</x:v>
      </x:c>
      <x:c r="B11" s="123" t="str">
        <x:v>電話</x:v>
      </x:c>
      <x:c r="C11" s="127" t="str">
        <x:v>09011112222</x:v>
      </x:c>
      <x:c r="D11" s="127" t="str">
        <x:v>09011112222</x:v>
      </x:c>
      <x:c r="E11" s="134" t="str">
        <x:v>ハイフンなし</x:v>
      </x:c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6" t="str">
        <x:v>V011</x:v>
      </x:c>
      <x:c r="B12" s="123" t="str">
        <x:v>メール</x:v>
      </x:c>
      <x:c r="C12" s="127" t="str">
        <x:v>HANAKO.SATO@EXAMPLE.JP</x:v>
      </x:c>
      <x:c r="D12" s="127" t="str">
        <x:v>hanako.sato@example.jp</x:v>
      </x:c>
      <x:c r="E12" s="134" t="str">
        <x:v>大文字</x:v>
      </x:c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6" t="str">
        <x:v>V012</x:v>
      </x:c>
      <x:c r="B13" s="123" t="str">
        <x:v>メール</x:v>
      </x:c>
      <x:c r="C13" s="127" t="str">
        <x:v>hanako.sato+seminar@example.jp</x:v>
      </x:c>
      <x:c r="D13" s="127" t="str">
        <x:v>別アドレス扱いまたはタグ除去</x:v>
      </x:c>
      <x:c r="E13" s="134" t="str">
        <x:v>プラスアドレス</x:v>
      </x:c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6" t="str">
        <x:v>V013</x:v>
      </x:c>
      <x:c r="B14" s="123" t="str">
        <x:v>住所</x:v>
      </x:c>
      <x:c r="C14" s="127" t="str">
        <x:v>愛知県名古屋市中区栄3-1-1</x:v>
      </x:c>
      <x:c r="D14" s="127" t="str">
        <x:v>愛知県名古屋市中区栄3丁目1番1号</x:v>
      </x:c>
      <x:c r="E14" s="134" t="str">
        <x:v>丁目・番地表記</x:v>
      </x:c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6" t="str">
        <x:v>V014</x:v>
      </x:c>
      <x:c r="B15" s="123" t="str">
        <x:v>住所</x:v>
      </x:c>
      <x:c r="C15" s="127" t="str">
        <x:v>〒4600008 名古屋市中区栄三丁目一番一号</x:v>
      </x:c>
      <x:c r="D15" s="127" t="str">
        <x:v>愛知県名古屋市中区栄3丁目1番1号の候補</x:v>
      </x:c>
      <x:c r="E15" s="134" t="str">
        <x:v>都道府県省略・漢数字</x:v>
      </x:c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6" t="str">
        <x:v>V015</x:v>
      </x:c>
      <x:c r="B16" s="123" t="str">
        <x:v>境界語</x:v>
      </x:c>
      <x:c r="C16" s="127" t="str">
        <x:v>南工場</x:v>
      </x:c>
      <x:c r="D16" s="127" t="str">
        <x:v>組織名</x:v>
      </x:c>
      <x:c r="E16" s="134" t="str">
        <x:v>「南」を人名として単独置換しない</x:v>
      </x:c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6" t="str">
        <x:v>V016</x:v>
      </x:c>
      <x:c r="B17" s="123" t="str">
        <x:v>境界語</x:v>
      </x:c>
      <x:c r="C17" s="127" t="str">
        <x:v>南さん</x:v>
      </x:c>
      <x:c r="D17" s="127" t="str">
        <x:v>人名候補</x:v>
      </x:c>
      <x:c r="E17" s="134" t="str">
        <x:v>敬称があるため人名の可能性が高い</x:v>
      </x:c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6" t="str">
        <x:v>V017</x:v>
      </x:c>
      <x:c r="B18" s="123" t="str">
        <x:v>境界語</x:v>
      </x:c>
      <x:c r="C18" s="127" t="str">
        <x:v>森を抜ける</x:v>
      </x:c>
      <x:c r="D18" s="127" t="str">
        <x:v>一般名詞</x:v>
      </x:c>
      <x:c r="E18" s="134" t="str">
        <x:v>「森」を人名として置換しない</x:v>
      </x:c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6" t="str">
        <x:v>V018</x:v>
      </x:c>
      <x:c r="B19" s="123" t="str">
        <x:v>境界語</x:v>
      </x:c>
      <x:c r="C19" s="127" t="str">
        <x:v>森さん</x:v>
      </x:c>
      <x:c r="D19" s="127" t="str">
        <x:v>人名候補</x:v>
      </x:c>
      <x:c r="E19" s="134" t="str">
        <x:v>姓のみで同定はできない</x:v>
      </x:c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6" t="str">
        <x:v>V019</x:v>
      </x:c>
      <x:c r="B20" s="123" t="str">
        <x:v>不完全情報</x:v>
      </x:c>
      <x:c r="C20" s="127" t="str">
        <x:v>電話番号の下4桁は2222</x:v>
      </x:c>
      <x:c r="D20" s="127" t="str">
        <x:v>要確認</x:v>
      </x:c>
      <x:c r="E20" s="134" t="str">
        <x:v>個人を自動特定しない</x:v>
      </x:c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6" t="str">
        <x:v>V020</x:v>
      </x:c>
      <x:c r="B21" s="123" t="str">
        <x:v>不正形式</x:v>
      </x:c>
      <x:c r="C21" s="127" t="str">
        <x:v>taro.yamada@example</x:v>
      </x:c>
      <x:c r="D21" s="127" t="str">
        <x:v>メール候補・要確認</x:v>
      </x:c>
      <x:c r="E21" s="134" t="str">
        <x:v>トップレベルドメインなし</x:v>
      </x:c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6" t="str">
        <x:v>V021</x:v>
      </x:c>
      <x:c r="B22" s="123" t="str">
        <x:v>秘密情報</x:v>
      </x:c>
      <x:c r="C22" s="127" t="str">
        <x:v>sk-test-1234567890abcdef</x:v>
      </x:c>
      <x:c r="D22" s="127" t="str">
        <x:v>APIキーとしてマスキング</x:v>
      </x:c>
      <x:c r="E22" s="134" t="str">
        <x:v>個人情報ではない</x:v>
      </x:c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9" t="str">
        <x:v>V022</x:v>
      </x:c>
      <x:c r="B23" s="131" t="str">
        <x:v>秘密情報</x:v>
      </x:c>
      <x:c r="C23" s="130" t="str">
        <x:v>192.0.2.10</x:v>
      </x:c>
      <x:c r="D23" s="130" t="str">
        <x:v>サーバー情報としてルール次第でマスキング</x:v>
      </x:c>
      <x:c r="E23" s="136" t="str">
        <x:v>文書用予約IPアドレス</x:v>
      </x:c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pageMargins left="0.7" right="0.7" top="0.75" bottom="0.75" header="0.3" footer="0.3"/>
  <x:tableParts count="1">
    <x:tablePart xmlns:r="http://schemas.openxmlformats.org/officeDocument/2006/relationships" r:id="Rb430c82580a3400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30" hidden="0" customWidth="1"/>
    <x:col min="5" max="5" width="11" hidden="0" customWidth="1"/>
    <x:col min="6" max="6" width="42" hidden="0" customWidth="1"/>
  </x:cols>
  <x:sheetData>
    <x:row r="1">
      <x:c r="A1" s="91" t="str">
        <x:v>対象カテゴリ</x:v>
      </x:c>
      <x:c r="B1" s="92" t="str">
        <x:v>例</x:v>
      </x:c>
      <x:c r="C1" s="92" t="str">
        <x:v>推奨処理</x:v>
      </x:c>
      <x:c r="D1" s="92" t="str">
        <x:v>出力例</x:v>
      </x:c>
      <x:c r="E1" s="92" t="str">
        <x:v>優先度</x:v>
      </x:c>
      <x:c r="F1" s="93" t="str">
        <x:v>備考</x:v>
      </x:c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6" t="str">
        <x:v>氏名</x:v>
      </x:c>
      <x:c r="B2" s="127" t="str">
        <x:v>山田 太郎</x:v>
      </x:c>
      <x:c r="C2" s="127" t="str">
        <x:v>一貫した仮名化</x:v>
      </x:c>
      <x:c r="D2" s="127" t="str">
        <x:v>個人001</x:v>
      </x:c>
      <x:c r="E2" s="123" t="str">
        <x:v>必須</x:v>
      </x:c>
      <x:c r="F2" s="134" t="str">
        <x:v>同一人物は全シートで同じ番号</x:v>
      </x:c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6" t="str">
        <x:v>会社名</x:v>
      </x:c>
      <x:c r="B3" s="127" t="str">
        <x:v>株式会社青空製作所</x:v>
      </x:c>
      <x:c r="C3" s="127" t="str">
        <x:v>設定により仮名化または維持</x:v>
      </x:c>
      <x:c r="D3" s="127" t="str">
        <x:v>法人001</x:v>
      </x:c>
      <x:c r="E3" s="123" t="str">
        <x:v>高</x:v>
      </x:c>
      <x:c r="F3" s="134" t="str">
        <x:v>個人情報と企業機密を分ける</x:v>
      </x:c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6" t="str">
        <x:v>住所</x:v>
      </x:c>
      <x:c r="B4" s="127" t="str">
        <x:v>東京都千代田区千代田1-1</x:v>
      </x:c>
      <x:c r="C4" s="127" t="str">
        <x:v>粒度を落とすまたはマスキング</x:v>
      </x:c>
      <x:c r="D4" s="127" t="str">
        <x:v>東京都千代田区</x:v>
      </x:c>
      <x:c r="E4" s="123" t="str">
        <x:v>必須</x:v>
      </x:c>
      <x:c r="F4" s="134" t="str">
        <x:v>分析目的に応じて都道府県・市区町村まで残す</x:v>
      </x:c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126" t="str">
        <x:v>電話番号</x:v>
      </x:c>
      <x:c r="B5" s="127" t="str">
        <x:v>090-1111-2222</x:v>
      </x:c>
      <x:c r="C5" s="127" t="str">
        <x:v>マスキング</x:v>
      </x:c>
      <x:c r="D5" s="127" t="str">
        <x:v>090-XXXX-2222</x:v>
      </x:c>
      <x:c r="E5" s="123" t="str">
        <x:v>必須</x:v>
      </x:c>
      <x:c r="F5" s="134" t="str">
        <x:v>末尾を残すかは利用目的で決定</x:v>
      </x:c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メール</x:v>
      </x:c>
      <x:c r="B6" s="127" t="str">
        <x:v>taro.yamada@example.com</x:v>
      </x:c>
      <x:c r="C6" s="127" t="str">
        <x:v>仮名化</x:v>
      </x:c>
      <x:c r="D6" s="127" t="str">
        <x:v>mail001@example.invalid</x:v>
      </x:c>
      <x:c r="E6" s="123" t="str">
        <x:v>必須</x:v>
      </x:c>
      <x:c r="F6" s="134" t="str">
        <x:v>example.invalidは予約ドメイン</x:v>
      </x:c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生年月日</x:v>
      </x:c>
      <x:c r="B7" s="127" t="str">
        <x:v>1982-04-15</x:v>
      </x:c>
      <x:c r="C7" s="127" t="str">
        <x:v>年代化または年齢階級化</x:v>
      </x:c>
      <x:c r="D7" s="127" t="str">
        <x:v>1980年代</x:v>
      </x:c>
      <x:c r="E7" s="123" t="str">
        <x:v>高</x:v>
      </x:c>
      <x:c r="F7" s="134" t="str">
        <x:v>日付型を保持する設計も検討</x:v>
      </x:c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個人番号</x:v>
      </x:c>
      <x:c r="B8" s="127" t="str">
        <x:v>123456789012</x:v>
      </x:c>
      <x:c r="C8" s="127" t="str">
        <x:v>完全削除または全桁マスキング</x:v>
      </x:c>
      <x:c r="D8" s="127" t="str">
        <x:v>************</x:v>
      </x:c>
      <x:c r="E8" s="123" t="str">
        <x:v>必須</x:v>
      </x:c>
      <x:c r="F8" s="134" t="str">
        <x:v>復元できない形を優先</x:v>
      </x:c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銀行口座</x:v>
      </x:c>
      <x:c r="B9" s="127" t="str">
        <x:v>普通 1234567</x:v>
      </x:c>
      <x:c r="C9" s="127" t="str">
        <x:v>口座番号をマスキング</x:v>
      </x:c>
      <x:c r="D9" s="127" t="str">
        <x:v>普通 ****567</x:v>
      </x:c>
      <x:c r="E9" s="123" t="str">
        <x:v>必須</x:v>
      </x:c>
      <x:c r="F9" s="134" t="str">
        <x:v>金融機関名を残すかは設定次第</x:v>
      </x:c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給与・賞与</x:v>
      </x:c>
      <x:c r="B10" s="127" t="str">
        <x:v>420,000円</x:v>
      </x:c>
      <x:c r="C10" s="127" t="str">
        <x:v>削除、範囲化、または維持</x:v>
      </x:c>
      <x:c r="D10" s="127" t="str">
        <x:v>400,000～449,999円</x:v>
      </x:c>
      <x:c r="E10" s="123" t="str">
        <x:v>高</x:v>
      </x:c>
      <x:c r="F10" s="134" t="str">
        <x:v>人事分析目的とのバランス</x:v>
      </x:c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6" t="str">
        <x:v>健康・配慮情報</x:v>
      </x:c>
      <x:c r="B11" s="127" t="str">
        <x:v>腰痛のため重量物運搬を避ける</x:v>
      </x:c>
      <x:c r="C11" s="127" t="str">
        <x:v>削除または別管理</x:v>
      </x:c>
      <x:c r="D11" s="127" t="str">
        <x:v>要配慮情報あり</x:v>
      </x:c>
      <x:c r="E11" s="123" t="str">
        <x:v>必須</x:v>
      </x:c>
      <x:c r="F11" s="134" t="str">
        <x:v>高い慎重さが必要</x:v>
      </x:c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6" t="str">
        <x:v>見積・原価・粗利</x:v>
      </x:c>
      <x:c r="B12" s="127" t="str">
        <x:v>見積18,500,000円</x:v>
      </x:c>
      <x:c r="C12" s="127" t="str">
        <x:v>機密列として削除・範囲化</x:v>
      </x:c>
      <x:c r="D12" s="127" t="str">
        <x:v>1,500万～2,000万円</x:v>
      </x:c>
      <x:c r="E12" s="123" t="str">
        <x:v>高</x:v>
      </x:c>
      <x:c r="F12" s="134" t="str">
        <x:v>個人情報検出だけでは対象外になりやすい</x:v>
      </x:c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9" t="str">
        <x:v>APIキー・パスワード</x:v>
      </x:c>
      <x:c r="B13" s="130" t="str">
        <x:v>sk-test-...</x:v>
      </x:c>
      <x:c r="C13" s="130" t="str">
        <x:v>完全マスキング</x:v>
      </x:c>
      <x:c r="D13" s="130" t="str">
        <x:v>********</x:v>
      </x:c>
      <x:c r="E13" s="131" t="str">
        <x:v>必須</x:v>
      </x:c>
      <x:c r="F13" s="136" t="str">
        <x:v>正規表現とキーワード辞書を併用</x:v>
      </x:c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conditionalFormatting sqref="E2:E13">
    <x:cfRule type="expression" dxfId="2" priority="1">
      <x:formula>E2="必須"</x:formula>
    </x:cfRule>
  </x:conditionalFormatting>
  <x:dataValidations count="1">
    <x:dataValidation type="list" sqref="E2:E13">
      <x:formula1>"必須,高,中,低"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f13d32310c46b6"/>
  </x:tableParts>
</x:worksheet>
</file>